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3"/>
  <workbookPr/>
  <mc:AlternateContent xmlns:mc="http://schemas.openxmlformats.org/markup-compatibility/2006">
    <mc:Choice Requires="x15">
      <x15ac:absPath xmlns:x15ac="http://schemas.microsoft.com/office/spreadsheetml/2010/11/ac" url="https://ulavaldti-my.sharepoint.com/personal/lubou339_ulaval_ca/Documents/GPH-2006/lab2 - 29 jan 2026/"/>
    </mc:Choice>
  </mc:AlternateContent>
  <xr:revisionPtr revIDLastSave="79" documentId="11_F25DC773A252ABDACC10489C195F50705BDE58EE" xr6:coauthVersionLast="47" xr6:coauthVersionMax="47" xr10:uidLastSave="{7841304F-B6D6-4217-A6E1-59B401A1119F}"/>
  <bookViews>
    <workbookView xWindow="-120" yWindow="-120" windowWidth="29040" windowHeight="15720" xr2:uid="{00000000-000D-0000-FFFF-FFFF00000000}"/>
  </bookViews>
  <sheets>
    <sheet name="partie 1" sheetId="1" r:id="rId1"/>
    <sheet name="partie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9" i="1"/>
  <c r="J20" i="1"/>
  <c r="J21" i="1"/>
  <c r="J22" i="1"/>
  <c r="I18" i="1"/>
  <c r="I19" i="1"/>
  <c r="I20" i="1"/>
  <c r="I21" i="1"/>
  <c r="I22" i="1"/>
  <c r="D6" i="2"/>
  <c r="D7" i="2" s="1"/>
  <c r="F25" i="1"/>
  <c r="H25" i="1" s="1"/>
  <c r="F26" i="1"/>
  <c r="H26" i="1" s="1"/>
  <c r="F27" i="1"/>
  <c r="H27" i="1" s="1"/>
  <c r="F28" i="1"/>
  <c r="H28" i="1" s="1"/>
  <c r="F29" i="1"/>
  <c r="F18" i="1"/>
  <c r="F19" i="1"/>
  <c r="F20" i="1"/>
  <c r="F21" i="1"/>
  <c r="F22" i="1"/>
  <c r="C5" i="1"/>
  <c r="H30" i="1" l="1"/>
  <c r="G29" i="1"/>
  <c r="G28" i="1"/>
  <c r="G27" i="1"/>
  <c r="G26" i="1"/>
  <c r="G25" i="1"/>
  <c r="E11" i="1"/>
  <c r="E15" i="1"/>
  <c r="G22" i="1"/>
  <c r="G21" i="1"/>
  <c r="G20" i="1"/>
  <c r="G19" i="1"/>
  <c r="G18" i="1"/>
  <c r="E14" i="1"/>
  <c r="E13" i="1"/>
  <c r="E12" i="1"/>
</calcChain>
</file>

<file path=xl/sharedStrings.xml><?xml version="1.0" encoding="utf-8"?>
<sst xmlns="http://schemas.openxmlformats.org/spreadsheetml/2006/main" count="48" uniqueCount="34">
  <si>
    <t>P_max</t>
  </si>
  <si>
    <t>%</t>
  </si>
  <si>
    <t>P_10%</t>
  </si>
  <si>
    <t>R_theo</t>
  </si>
  <si>
    <t>R_2</t>
  </si>
  <si>
    <t>R_4</t>
  </si>
  <si>
    <t>V_max</t>
  </si>
  <si>
    <t>figure 1</t>
  </si>
  <si>
    <t>V_source</t>
  </si>
  <si>
    <t>V_R</t>
  </si>
  <si>
    <t>I_exp</t>
  </si>
  <si>
    <t>R_exp</t>
  </si>
  <si>
    <t>ecart</t>
  </si>
  <si>
    <t>Column1</t>
  </si>
  <si>
    <t>del V_R</t>
  </si>
  <si>
    <t>del I_exp</t>
  </si>
  <si>
    <t>Column2</t>
  </si>
  <si>
    <t>figure 2</t>
  </si>
  <si>
    <t>symbole</t>
  </si>
  <si>
    <t>ASI</t>
  </si>
  <si>
    <t>avec le 4,5</t>
  </si>
  <si>
    <t>R_max</t>
  </si>
  <si>
    <t>R_prot</t>
  </si>
  <si>
    <t>I_max</t>
  </si>
  <si>
    <t>V_min</t>
  </si>
  <si>
    <t>R_min</t>
  </si>
  <si>
    <t>Colonne1</t>
  </si>
  <si>
    <t>V</t>
  </si>
  <si>
    <t>R</t>
  </si>
  <si>
    <t>min</t>
  </si>
  <si>
    <t>max</t>
  </si>
  <si>
    <t>V_1</t>
  </si>
  <si>
    <t>R_1</t>
  </si>
  <si>
    <t>V_2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</si>
</sst>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"/>
    <numFmt numFmtId="166" formatCode="0.00000"/>
    <numFmt numFmtId="167" formatCode="0.0%"/>
    <numFmt numFmtId="168" formatCode="0.00000000"/>
    <numFmt numFmtId="169" formatCode="0.0000000"/>
    <numFmt numFmtId="170" formatCode="0.0000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1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2">
    <cellStyle name="Normal" xfId="0" builtinId="0"/>
    <cellStyle name="Percent" xfId="1" builtinId="5"/>
  </cellStyles>
  <dxfs count="7">
    <dxf>
      <numFmt numFmtId="0" formatCode="General"/>
    </dxf>
    <dxf>
      <numFmt numFmtId="0" formatCode="General"/>
    </dxf>
    <dxf>
      <numFmt numFmtId="166" formatCode="0.00000"/>
    </dxf>
    <dxf>
      <numFmt numFmtId="166" formatCode="0.00000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C1291C-A5CF-4011-A6BC-3EF755DCD227}" name="Tableau1" displayName="Tableau1" ref="B10:E15" totalsRowShown="0">
  <autoFilter ref="B10:E15" xr:uid="{79C1291C-A5CF-4011-A6BC-3EF755DCD227}"/>
  <tableColumns count="4">
    <tableColumn id="1" xr3:uid="{078F308E-8AD0-4C25-A6A4-BF9AD745BB0C}" name="R_theo"/>
    <tableColumn id="2" xr3:uid="{F162EB7C-652D-4862-A783-0F2E7E8B0DF2}" name="R_2"/>
    <tableColumn id="3" xr3:uid="{9D9F515E-3B85-4242-95BE-42BEFAA64770}" name="R_4"/>
    <tableColumn id="4" xr3:uid="{52B21A64-4C68-455B-B851-09689FE2164D}" name="V_max" dataDxfId="6">
      <calculatedColumnFormula>SQRT($C$5*Tableau1[[#This Row],[R_4]])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5A5D77-7756-4457-9AC5-880FA3E61944}" name="Tableau2" displayName="Tableau2" ref="B17:K22" totalsRowShown="0">
  <autoFilter ref="B17:K22" xr:uid="{C45A5D77-7756-4457-9AC5-880FA3E61944}"/>
  <tableColumns count="10">
    <tableColumn id="1" xr3:uid="{9B3D2DB1-78B4-4A16-BA90-9AC4013C2652}" name="R_theo"/>
    <tableColumn id="2" xr3:uid="{CA88CF44-77BB-422D-8D6E-E52F0D0D5818}" name="V_source"/>
    <tableColumn id="3" xr3:uid="{4DDFF964-F36F-4D88-B328-020A9AB19D2F}" name="V_R"/>
    <tableColumn id="4" xr3:uid="{60BC90D7-6996-470D-AD19-3C334C0AEDF4}" name="I_exp"/>
    <tableColumn id="5" xr3:uid="{A44569A9-EC8B-47EE-87E6-1571341DA2E4}" name="R_exp" dataDxfId="5">
      <calculatedColumnFormula>Tableau2[[#This Row],[V_R]]/Tableau2[[#This Row],[I_exp]]</calculatedColumnFormula>
    </tableColumn>
    <tableColumn id="9" xr3:uid="{3367521A-E9B3-4663-8DB7-D099007D8E18}" name="ecart">
      <calculatedColumnFormula>1-Tableau2[[#This Row],[R_theo]]/Tableau2[[#This Row],[R_exp]]</calculatedColumnFormula>
    </tableColumn>
    <tableColumn id="6" xr3:uid="{BAD0B334-E34F-4562-8930-585D024B5668}" name="Column1" dataDxfId="4"/>
    <tableColumn id="7" xr3:uid="{E37B9EB2-1F66-4627-91DF-D9F2006EEAF5}" name="del V_R" dataDxfId="3">
      <calculatedColumnFormula>Tableau2[[#This Row],[V_R]]*0.0002</calculatedColumnFormula>
    </tableColumn>
    <tableColumn id="8" xr3:uid="{266B39E9-BC6E-419C-96F3-42295DD7CDD6}" name="del I_exp" dataDxfId="2">
      <calculatedColumnFormula>Tableau2[[#This Row],[I_exp]]*0.0005</calculatedColumnFormula>
    </tableColumn>
    <tableColumn id="10" xr3:uid="{DEA4B035-D93C-42CC-A24F-54F1939A633B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F86A37-ED2A-4A17-8918-F03A80D43080}" name="Tableau24" displayName="Tableau24" ref="B24:H29" totalsRowShown="0">
  <autoFilter ref="B24:H29" xr:uid="{43F86A37-ED2A-4A17-8918-F03A80D43080}"/>
  <tableColumns count="7">
    <tableColumn id="1" xr3:uid="{86EBDB86-7EF5-447D-BB04-BE657A5834CC}" name="R_theo"/>
    <tableColumn id="2" xr3:uid="{47CB3C15-0116-4CCB-88DA-C7A281103234}" name="V_source"/>
    <tableColumn id="3" xr3:uid="{7BDD80D2-0075-47E4-893B-CFB1D7B17A3E}" name="V_R"/>
    <tableColumn id="4" xr3:uid="{4619DFC0-D47D-4CD2-B94B-1CB8DC4DBBC4}" name="I_exp"/>
    <tableColumn id="5" xr3:uid="{A294532A-A1F4-4BAC-ACBB-EFFD39A7BF5F}" name="R_exp" dataDxfId="1">
      <calculatedColumnFormula>Tableau24[[#This Row],[V_R]]/Tableau24[[#This Row],[I_exp]]</calculatedColumnFormula>
    </tableColumn>
    <tableColumn id="9" xr3:uid="{3D7BC8AF-A648-4974-A3EB-7FBE47210409}" name="ecart">
      <calculatedColumnFormula>1-Tableau24[[#This Row],[R_theo]]/Tableau24[[#This Row],[R_exp]]</calculatedColumnFormula>
    </tableColumn>
    <tableColumn id="6" xr3:uid="{384C192F-2CEB-4CF3-A795-46A6C8111B4B}" name="Column1" dataDxfId="0">
      <calculatedColumnFormula>Tableau24[[#This Row],[R_exp]]-D11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7B22B9-BE9E-4C01-A789-C361BED81FCD}" name="Tableau5" displayName="Tableau5" ref="C1:D15" totalsRowShown="0">
  <autoFilter ref="C1:D15" xr:uid="{AE7B22B9-BE9E-4C01-A789-C361BED81FCD}"/>
  <tableColumns count="2">
    <tableColumn id="1" xr3:uid="{E6B42CB2-FC21-4856-88D2-613D73612C89}" name="symbole"/>
    <tableColumn id="2" xr3:uid="{E0E00E6F-DDBB-4491-B5D8-3ED1222455DE}" name="AS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09E81B-C3F0-4E3C-A8C6-94B45C3F6A0E}" name="Tableau6" displayName="Tableau6" ref="L9:N13" totalsRowShown="0">
  <autoFilter ref="L9:N13" xr:uid="{9B09E81B-C3F0-4E3C-A8C6-94B45C3F6A0E}"/>
  <tableColumns count="3">
    <tableColumn id="1" xr3:uid="{1018C556-F4A6-4C5D-B1B3-EB1EC7EFB1CC}" name="Colonne1"/>
    <tableColumn id="2" xr3:uid="{025BE95C-EE66-4BB1-BBAD-989FEAB90772}" name="V"/>
    <tableColumn id="3" xr3:uid="{DF25F1BB-F361-475F-B056-145900CF9285}" name="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30"/>
  <sheetViews>
    <sheetView tabSelected="1" topLeftCell="A2" zoomScale="130" zoomScaleNormal="130" workbookViewId="0">
      <selection activeCell="K18" sqref="K18"/>
    </sheetView>
  </sheetViews>
  <sheetFormatPr defaultColWidth="9.140625" defaultRowHeight="15"/>
  <cols>
    <col min="2" max="2" width="10.7109375" customWidth="1"/>
    <col min="3" max="3" width="13.28515625" customWidth="1"/>
    <col min="4" max="6" width="11.5703125" customWidth="1"/>
    <col min="7" max="7" width="10.7109375" customWidth="1"/>
    <col min="8" max="8" width="10.85546875" bestFit="1" customWidth="1"/>
    <col min="9" max="9" width="13.7109375" customWidth="1"/>
    <col min="10" max="10" width="20.5703125" customWidth="1"/>
    <col min="11" max="11" width="25.7109375" customWidth="1"/>
  </cols>
  <sheetData>
    <row r="3" spans="2:5">
      <c r="B3" t="s">
        <v>0</v>
      </c>
      <c r="C3">
        <v>0.25</v>
      </c>
    </row>
    <row r="4" spans="2:5">
      <c r="B4" t="s">
        <v>1</v>
      </c>
      <c r="C4" s="1">
        <v>0.1</v>
      </c>
    </row>
    <row r="5" spans="2:5">
      <c r="B5" t="s">
        <v>2</v>
      </c>
      <c r="C5" s="3">
        <f>C4*C3</f>
        <v>2.5000000000000001E-2</v>
      </c>
    </row>
    <row r="10" spans="2:5">
      <c r="B10" t="s">
        <v>3</v>
      </c>
      <c r="C10" t="s">
        <v>4</v>
      </c>
      <c r="D10" t="s">
        <v>5</v>
      </c>
      <c r="E10" t="s">
        <v>6</v>
      </c>
    </row>
    <row r="11" spans="2:5">
      <c r="B11">
        <v>12</v>
      </c>
      <c r="C11">
        <v>11.943</v>
      </c>
      <c r="D11">
        <v>11.949</v>
      </c>
      <c r="E11" s="5">
        <f>SQRT($C$5*Tableau1[[#This Row],[R_4]])</f>
        <v>0.54655740778073814</v>
      </c>
    </row>
    <row r="12" spans="2:5">
      <c r="B12">
        <v>270</v>
      </c>
      <c r="C12">
        <v>268.92</v>
      </c>
      <c r="D12">
        <v>269.02</v>
      </c>
      <c r="E12" s="4">
        <f>SQRT($C$5*Tableau1[[#This Row],[R_4]])</f>
        <v>2.5933568979220736</v>
      </c>
    </row>
    <row r="13" spans="2:5">
      <c r="B13">
        <v>560</v>
      </c>
      <c r="C13">
        <v>550.65</v>
      </c>
      <c r="D13">
        <v>550.73</v>
      </c>
      <c r="E13" s="4">
        <f>SQRT($C$5*Tableau1[[#This Row],[R_4]])</f>
        <v>3.7105592570392947</v>
      </c>
    </row>
    <row r="14" spans="2:5">
      <c r="B14">
        <v>100000</v>
      </c>
      <c r="C14">
        <v>100036</v>
      </c>
      <c r="D14">
        <v>100036</v>
      </c>
      <c r="E14" s="3">
        <f>SQRT($C$5*Tableau1[[#This Row],[R_4]])</f>
        <v>50.008999190145765</v>
      </c>
    </row>
    <row r="15" spans="2:5">
      <c r="B15">
        <v>1000000</v>
      </c>
      <c r="C15">
        <v>987200</v>
      </c>
      <c r="D15">
        <v>987500</v>
      </c>
      <c r="E15" s="2">
        <f>SQRT($C$5*Tableau1[[#This Row],[R_4]])</f>
        <v>157.12256362470669</v>
      </c>
    </row>
    <row r="16" spans="2:5">
      <c r="B16" s="7" t="s">
        <v>7</v>
      </c>
      <c r="C16" s="7"/>
      <c r="D16" s="7"/>
      <c r="E16" s="7"/>
    </row>
    <row r="17" spans="2:11">
      <c r="B17" t="s">
        <v>3</v>
      </c>
      <c r="C17" t="s">
        <v>8</v>
      </c>
      <c r="D17" t="s">
        <v>9</v>
      </c>
      <c r="E17" t="s">
        <v>10</v>
      </c>
      <c r="F17" t="s">
        <v>11</v>
      </c>
      <c r="G17" t="s">
        <v>12</v>
      </c>
      <c r="H17" t="s">
        <v>13</v>
      </c>
      <c r="I17" t="s">
        <v>14</v>
      </c>
      <c r="J17" t="s">
        <v>15</v>
      </c>
      <c r="K17" t="s">
        <v>16</v>
      </c>
    </row>
    <row r="18" spans="2:11">
      <c r="B18">
        <v>12</v>
      </c>
      <c r="C18">
        <v>0.40400000000000003</v>
      </c>
      <c r="D18">
        <v>0.23232</v>
      </c>
      <c r="E18">
        <v>2.1277000000000001E-2</v>
      </c>
      <c r="F18">
        <f>Tableau2[[#This Row],[V_R]]/Tableau2[[#This Row],[I_exp]]</f>
        <v>10.918832542181699</v>
      </c>
      <c r="G18" s="1">
        <f>1-Tableau2[[#This Row],[R_theo]]/Tableau2[[#This Row],[R_exp]]</f>
        <v>-9.9018595041322266E-2</v>
      </c>
      <c r="H18" s="8"/>
      <c r="I18" s="5">
        <f>Tableau2[[#This Row],[V_R]]*0.0002</f>
        <v>4.6464000000000001E-5</v>
      </c>
      <c r="J18" s="5">
        <f>Tableau2[[#This Row],[I_exp]]*0.0005</f>
        <v>1.06385E-5</v>
      </c>
    </row>
    <row r="19" spans="2:11">
      <c r="B19">
        <v>270</v>
      </c>
      <c r="C19">
        <v>2.008</v>
      </c>
      <c r="D19">
        <v>1.9486000000000001</v>
      </c>
      <c r="E19">
        <v>7.2465999999999997E-3</v>
      </c>
      <c r="F19">
        <f>Tableau2[[#This Row],[V_R]]/Tableau2[[#This Row],[I_exp]]</f>
        <v>268.89851792564792</v>
      </c>
      <c r="G19" s="6">
        <f>1-Tableau2[[#This Row],[R_theo]]/Tableau2[[#This Row],[R_exp]]</f>
        <v>-4.0962742481780445E-3</v>
      </c>
      <c r="H19" s="8"/>
      <c r="I19" s="4">
        <f>Tableau2[[#This Row],[V_R]]*0.0002</f>
        <v>3.8972000000000003E-4</v>
      </c>
      <c r="J19" s="11">
        <f>Tableau2[[#This Row],[I_exp]]*0.0005</f>
        <v>3.6233000000000001E-6</v>
      </c>
    </row>
    <row r="20" spans="2:11">
      <c r="B20">
        <v>560</v>
      </c>
      <c r="C20">
        <v>3</v>
      </c>
      <c r="D20">
        <v>2.9367000000000001</v>
      </c>
      <c r="E20">
        <v>5.3461000000000003E-3</v>
      </c>
      <c r="F20">
        <f>Tableau2[[#This Row],[V_R]]/Tableau2[[#This Row],[I_exp]]</f>
        <v>549.3163240493069</v>
      </c>
      <c r="G20" s="1">
        <f>1-Tableau2[[#This Row],[R_theo]]/Tableau2[[#This Row],[R_exp]]</f>
        <v>-1.9449041441073511E-2</v>
      </c>
      <c r="H20" s="8"/>
      <c r="I20" s="4">
        <f>Tableau2[[#This Row],[V_R]]*0.0002</f>
        <v>5.8734E-4</v>
      </c>
      <c r="J20" s="11">
        <f>Tableau2[[#This Row],[I_exp]]*0.0005</f>
        <v>2.6730500000000002E-6</v>
      </c>
    </row>
    <row r="21" spans="2:11">
      <c r="B21">
        <v>100000</v>
      </c>
      <c r="C21">
        <v>10</v>
      </c>
      <c r="D21">
        <v>9.9920000000000009</v>
      </c>
      <c r="E21">
        <v>1.01E-4</v>
      </c>
      <c r="F21">
        <f>Tableau2[[#This Row],[V_R]]/Tableau2[[#This Row],[I_exp]]</f>
        <v>98930.693069306944</v>
      </c>
      <c r="G21" s="1">
        <f>1-Tableau2[[#This Row],[R_theo]]/Tableau2[[#This Row],[R_exp]]</f>
        <v>-1.0808646917533915E-2</v>
      </c>
      <c r="H21" s="8"/>
      <c r="I21" s="3">
        <f>Tableau2[[#This Row],[V_R]]*0.0002</f>
        <v>1.9984000000000004E-3</v>
      </c>
      <c r="J21" s="10">
        <f>Tableau2[[#This Row],[I_exp]]*0.0005</f>
        <v>5.0500000000000002E-8</v>
      </c>
    </row>
    <row r="22" spans="2:11">
      <c r="B22">
        <v>1000000</v>
      </c>
      <c r="C22">
        <v>20</v>
      </c>
      <c r="D22">
        <v>19.989000000000001</v>
      </c>
      <c r="E22">
        <v>2.2200000000000001E-5</v>
      </c>
      <c r="F22">
        <f>Tableau2[[#This Row],[V_R]]/Tableau2[[#This Row],[I_exp]]</f>
        <v>900405.40540540544</v>
      </c>
      <c r="G22" s="1">
        <f>1-Tableau2[[#This Row],[R_theo]]/Tableau2[[#This Row],[R_exp]]</f>
        <v>-0.11061083595977772</v>
      </c>
      <c r="H22" s="8"/>
      <c r="I22" s="3">
        <f>Tableau2[[#This Row],[V_R]]*0.0002</f>
        <v>3.9978000000000001E-3</v>
      </c>
      <c r="J22" s="9">
        <f>Tableau2[[#This Row],[I_exp]]*0.0005</f>
        <v>1.11E-8</v>
      </c>
    </row>
    <row r="23" spans="2:11">
      <c r="B23" s="7" t="s">
        <v>17</v>
      </c>
      <c r="C23" s="7"/>
      <c r="D23" s="7"/>
      <c r="E23" s="7"/>
    </row>
    <row r="24" spans="2:11">
      <c r="B24" t="s">
        <v>3</v>
      </c>
      <c r="C24" t="s">
        <v>8</v>
      </c>
      <c r="D24" t="s">
        <v>9</v>
      </c>
      <c r="E24" t="s">
        <v>10</v>
      </c>
      <c r="F24" t="s">
        <v>11</v>
      </c>
      <c r="G24" t="s">
        <v>12</v>
      </c>
      <c r="H24" t="s">
        <v>13</v>
      </c>
    </row>
    <row r="25" spans="2:11">
      <c r="B25">
        <v>12</v>
      </c>
      <c r="C25">
        <v>0.40400000000000003</v>
      </c>
      <c r="D25">
        <v>0.39910000000000001</v>
      </c>
      <c r="E25">
        <v>2.1552999999999999E-2</v>
      </c>
      <c r="F25">
        <f>Tableau24[[#This Row],[V_R]]/Tableau24[[#This Row],[I_exp]]</f>
        <v>18.517143785087924</v>
      </c>
      <c r="G25" s="1">
        <f>1-Tableau24[[#This Row],[R_theo]]/Tableau24[[#This Row],[R_exp]]</f>
        <v>0.35195189175645203</v>
      </c>
      <c r="H25">
        <f>Tableau24[[#This Row],[R_exp]]-D11</f>
        <v>6.5681437850879245</v>
      </c>
    </row>
    <row r="26" spans="2:11">
      <c r="B26">
        <v>270</v>
      </c>
      <c r="C26">
        <v>2.008</v>
      </c>
      <c r="D26">
        <v>2.0011000000000001</v>
      </c>
      <c r="E26">
        <v>6.4828000000000004E-3</v>
      </c>
      <c r="F26">
        <f>Tableau24[[#This Row],[V_R]]/Tableau24[[#This Row],[I_exp]]</f>
        <v>308.67834886160301</v>
      </c>
      <c r="G26" s="1">
        <f>1-Tableau24[[#This Row],[R_theo]]/Tableau24[[#This Row],[R_exp]]</f>
        <v>0.12530308330418272</v>
      </c>
      <c r="H26">
        <f>Tableau24[[#This Row],[R_exp]]-D12</f>
        <v>39.658348861603031</v>
      </c>
    </row>
    <row r="27" spans="2:11">
      <c r="B27">
        <v>560</v>
      </c>
      <c r="C27">
        <v>3</v>
      </c>
      <c r="D27">
        <v>2.9923000000000002</v>
      </c>
      <c r="E27">
        <v>5.3474000000000004E-3</v>
      </c>
      <c r="F27">
        <f>Tableau24[[#This Row],[V_R]]/Tableau24[[#This Row],[I_exp]]</f>
        <v>559.58035680891646</v>
      </c>
      <c r="G27" s="6">
        <f>1-Tableau24[[#This Row],[R_theo]]/Tableau24[[#This Row],[R_exp]]</f>
        <v>-7.499248070046427E-4</v>
      </c>
      <c r="H27">
        <f>Tableau24[[#This Row],[R_exp]]-D13</f>
        <v>8.8503568089164446</v>
      </c>
    </row>
    <row r="28" spans="2:11">
      <c r="B28">
        <v>100000</v>
      </c>
      <c r="C28">
        <v>10</v>
      </c>
      <c r="D28">
        <v>9.9992999999999999</v>
      </c>
      <c r="E28">
        <v>9.9900000000000002E-5</v>
      </c>
      <c r="F28">
        <f>Tableau24[[#This Row],[V_R]]/Tableau24[[#This Row],[I_exp]]</f>
        <v>100093.09309309309</v>
      </c>
      <c r="G28" s="6">
        <f>1-Tableau24[[#This Row],[R_theo]]/Tableau24[[#This Row],[R_exp]]</f>
        <v>9.3006510455728719E-4</v>
      </c>
      <c r="H28">
        <f>Tableau24[[#This Row],[R_exp]]-D14</f>
        <v>57.093093093091738</v>
      </c>
    </row>
    <row r="29" spans="2:11">
      <c r="B29">
        <v>1000000</v>
      </c>
      <c r="C29">
        <v>20</v>
      </c>
      <c r="D29">
        <v>19.989000000000001</v>
      </c>
      <c r="E29">
        <v>2.02E-5</v>
      </c>
      <c r="F29">
        <f>Tableau24[[#This Row],[V_R]]/Tableau24[[#This Row],[I_exp]]</f>
        <v>989554.45544554456</v>
      </c>
      <c r="G29" s="1">
        <f>1-Tableau24[[#This Row],[R_theo]]/Tableau24[[#This Row],[R_exp]]</f>
        <v>-1.0555805693131193E-2</v>
      </c>
    </row>
    <row r="30" spans="2:11">
      <c r="H30">
        <f>AVERAGE(Tableau24[Column1])</f>
        <v>28.042485637174785</v>
      </c>
    </row>
  </sheetData>
  <mergeCells count="2">
    <mergeCell ref="B16:E16"/>
    <mergeCell ref="B23:E23"/>
  </mergeCells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B7C9-0768-4F76-8A61-DB8004C6BC48}">
  <dimension ref="A1:N15"/>
  <sheetViews>
    <sheetView workbookViewId="0">
      <selection activeCell="H2" sqref="H2"/>
    </sheetView>
  </sheetViews>
  <sheetFormatPr defaultColWidth="11.42578125" defaultRowHeight="15"/>
  <cols>
    <col min="3" max="4" width="11.5703125" customWidth="1"/>
    <col min="12" max="12" width="11.5703125" customWidth="1"/>
  </cols>
  <sheetData>
    <row r="1" spans="1:14">
      <c r="C1" t="s">
        <v>18</v>
      </c>
      <c r="D1" t="s">
        <v>19</v>
      </c>
    </row>
    <row r="2" spans="1:14">
      <c r="A2" t="s">
        <v>20</v>
      </c>
      <c r="C2" t="s">
        <v>21</v>
      </c>
      <c r="D2">
        <v>1000</v>
      </c>
    </row>
    <row r="3" spans="1:14">
      <c r="C3" t="s">
        <v>22</v>
      </c>
      <c r="D3">
        <v>560</v>
      </c>
    </row>
    <row r="4" spans="1:14">
      <c r="C4" t="s">
        <v>8</v>
      </c>
      <c r="D4">
        <v>7.7880000000000003</v>
      </c>
    </row>
    <row r="5" spans="1:14">
      <c r="C5" t="s">
        <v>0</v>
      </c>
      <c r="D5">
        <v>0.5</v>
      </c>
    </row>
    <row r="6" spans="1:14">
      <c r="C6" t="s">
        <v>23</v>
      </c>
      <c r="D6">
        <f>SQRT(D5/D2)</f>
        <v>2.2360679774997897E-2</v>
      </c>
    </row>
    <row r="7" spans="1:14">
      <c r="C7" t="s">
        <v>22</v>
      </c>
      <c r="D7">
        <f>D4/D6</f>
        <v>348.28994817536727</v>
      </c>
    </row>
    <row r="8" spans="1:14">
      <c r="C8" t="s">
        <v>24</v>
      </c>
      <c r="D8">
        <v>6.8479999999999999</v>
      </c>
    </row>
    <row r="9" spans="1:14">
      <c r="C9" t="s">
        <v>25</v>
      </c>
      <c r="D9">
        <v>553.29999999999995</v>
      </c>
      <c r="L9" t="s">
        <v>26</v>
      </c>
      <c r="M9" t="s">
        <v>27</v>
      </c>
      <c r="N9" t="s">
        <v>28</v>
      </c>
    </row>
    <row r="10" spans="1:14">
      <c r="C10" t="s">
        <v>6</v>
      </c>
      <c r="D10">
        <v>7.3220000000000001</v>
      </c>
      <c r="L10" t="s">
        <v>29</v>
      </c>
      <c r="M10">
        <v>6.8479999999999999</v>
      </c>
      <c r="N10">
        <v>553.29999999999995</v>
      </c>
    </row>
    <row r="11" spans="1:14">
      <c r="C11" t="s">
        <v>21</v>
      </c>
      <c r="D11">
        <v>1543.7</v>
      </c>
      <c r="L11" t="s">
        <v>30</v>
      </c>
      <c r="M11">
        <v>7.3220000000000001</v>
      </c>
      <c r="N11">
        <v>1543.7</v>
      </c>
    </row>
    <row r="12" spans="1:14">
      <c r="C12" t="s">
        <v>31</v>
      </c>
      <c r="D12">
        <v>7.1349999999999998</v>
      </c>
      <c r="L12">
        <v>1</v>
      </c>
      <c r="M12">
        <v>7.1349999999999998</v>
      </c>
      <c r="N12">
        <v>890.7</v>
      </c>
    </row>
    <row r="13" spans="1:14">
      <c r="C13" t="s">
        <v>32</v>
      </c>
      <c r="D13">
        <v>890.7</v>
      </c>
      <c r="L13">
        <v>2</v>
      </c>
      <c r="M13">
        <v>7.2530000000000001</v>
      </c>
      <c r="N13">
        <v>1237.3</v>
      </c>
    </row>
    <row r="14" spans="1:14">
      <c r="C14" t="s">
        <v>33</v>
      </c>
      <c r="D14">
        <v>7.2530000000000001</v>
      </c>
    </row>
    <row r="15" spans="1:14">
      <c r="C15" t="s">
        <v>4</v>
      </c>
      <c r="D15">
        <v>1237.3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 Bouchard</dc:creator>
  <cp:keywords/>
  <dc:description/>
  <cp:lastModifiedBy>Luan Bouchard</cp:lastModifiedBy>
  <cp:revision/>
  <dcterms:created xsi:type="dcterms:W3CDTF">2015-06-05T18:17:20Z</dcterms:created>
  <dcterms:modified xsi:type="dcterms:W3CDTF">2026-02-07T04:57:58Z</dcterms:modified>
  <cp:category/>
  <cp:contentStatus/>
</cp:coreProperties>
</file>